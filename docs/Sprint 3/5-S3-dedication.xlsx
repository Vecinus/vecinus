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Esteban\Desktop\ENTREGA\"/>
    </mc:Choice>
  </mc:AlternateContent>
  <xr:revisionPtr revIDLastSave="0" documentId="13_ncr:1_{E47A4C49-6F97-4271-AFF9-0E62530613B8}" xr6:coauthVersionLast="47" xr6:coauthVersionMax="47" xr10:uidLastSave="{00000000-0000-0000-0000-000000000000}"/>
  <bookViews>
    <workbookView xWindow="-108" yWindow="-108" windowWidth="23256" windowHeight="12456" tabRatio="735" xr2:uid="{00000000-000D-0000-FFFF-FFFF00000000}"/>
  </bookViews>
  <sheets>
    <sheet name="Contribución a los entregables" sheetId="1" r:id="rId1"/>
    <sheet name="Comentarios sobre #DP" sheetId="2" r:id="rId2"/>
    <sheet name="Comentarios sobre #S1" sheetId="3" r:id="rId3"/>
    <sheet name="Comentarios sobre #S2" sheetId="4" r:id="rId4"/>
    <sheet name="Comentarios sobre #S3" sheetId="5" r:id="rId5"/>
    <sheet name="Comentarios sobre #PPL"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G29" i="1" s="1"/>
  <c r="G30" i="1" s="1"/>
  <c r="C29" i="1" l="1"/>
  <c r="C30" i="1" s="1"/>
  <c r="D29" i="1"/>
  <c r="D30" i="1" s="1"/>
  <c r="E29" i="1"/>
  <c r="E30" i="1" s="1"/>
  <c r="F29" i="1"/>
  <c r="F30" i="1" s="1"/>
</calcChain>
</file>

<file path=xl/sharedStrings.xml><?xml version="1.0" encoding="utf-8"?>
<sst xmlns="http://schemas.openxmlformats.org/spreadsheetml/2006/main" count="74" uniqueCount="53">
  <si>
    <t>Nombre</t>
  </si>
  <si>
    <t>Apellidos</t>
  </si>
  <si>
    <t>Devising a project (#DP)</t>
  </si>
  <si>
    <t>Sprint 1 (#S1)</t>
  </si>
  <si>
    <t>Sprint 2 (#S2)</t>
  </si>
  <si>
    <t>Sprint 3 (#S3)</t>
  </si>
  <si>
    <t>Preparing project launch (#PPL)</t>
  </si>
  <si>
    <t>ADRIÁN</t>
  </si>
  <si>
    <t>DÍAZ VÁZQUEZ</t>
  </si>
  <si>
    <t>ALEJANDRO</t>
  </si>
  <si>
    <t>MANTECÓN RODRÍGUEZ</t>
  </si>
  <si>
    <t>ÁNGEL MANUEL</t>
  </si>
  <si>
    <t>FERRER ÁLVAREZ</t>
  </si>
  <si>
    <t>ARIEL</t>
  </si>
  <si>
    <t>ESCOBAR CAPILLA</t>
  </si>
  <si>
    <t>ESTEBAN</t>
  </si>
  <si>
    <t>LÓPEZ PÉREZ</t>
  </si>
  <si>
    <t>FERNANDO</t>
  </si>
  <si>
    <t>COBOS GARCÍA</t>
  </si>
  <si>
    <t>HÉCTOR</t>
  </si>
  <si>
    <t>GUERRA PRADA</t>
  </si>
  <si>
    <t>JESÚS</t>
  </si>
  <si>
    <t>PONS MORÍS</t>
  </si>
  <si>
    <t>ORIA ARENAS</t>
  </si>
  <si>
    <t>JOAQUÍN</t>
  </si>
  <si>
    <t>BORJA LEÓN</t>
  </si>
  <si>
    <t>JOSÉ ÁNGEL</t>
  </si>
  <si>
    <t>RODRÍGUEZ DURÁN</t>
  </si>
  <si>
    <t>JUAN</t>
  </si>
  <si>
    <t>RAMÍREZ MORALES</t>
  </si>
  <si>
    <t>KEVIN</t>
  </si>
  <si>
    <t>AMADOR CALZADILLA</t>
  </si>
  <si>
    <t>MANUEL</t>
  </si>
  <si>
    <t>ZURITA FERNÁNDEZ</t>
  </si>
  <si>
    <t>RARES</t>
  </si>
  <si>
    <t>NICOLAE PETRE</t>
  </si>
  <si>
    <t>Numero de Miembros</t>
  </si>
  <si>
    <t>TOTAL Asignado</t>
  </si>
  <si>
    <t>Por Asignar</t>
  </si>
  <si>
    <t>IMPORTANTE:</t>
  </si>
  <si>
    <t>La fila de TOTAL Asignado debe tener el valor 100% (resaltado en verde).</t>
  </si>
  <si>
    <t>Solo se permitirá una distribución asimétrica si se justifica en terminos de que una persona ha hecho una dedicacion en horas menora la esperada (10h semanales) y eso a provocado que no ha podido completar tareas que han debido ser reasignadas a otro miembro que, a su vez, ha tenido que hacer un sobreesfuerzo en horas para completarlas.</t>
  </si>
  <si>
    <t>En el caso de que la distribución sea asimetrica, hay que rellenar un comentario explicando la situación en la pestaña "Comentarios sobre XX" del entregable correspondiente.</t>
  </si>
  <si>
    <t>En cada entregable solo se puede actualizar la columna del entregable correspondiente SIN modificar la distribución de entregables anteriores.</t>
  </si>
  <si>
    <t>Comentarios</t>
  </si>
  <si>
    <t>Penalización</t>
  </si>
  <si>
    <t>Ha retrasado a todos los compañeros debido a que no ha cumplido con las fechas límites establecidas ni ha dado una razón de peso o justificación válida por ello, además de ausencia de comunicación con los demás</t>
  </si>
  <si>
    <t>No ha cumplido con los objetivos retrasando a sus compañeros y obligando a otros a hacer su trabajo. Se le aplica menos penalización pues a pesar de ello, supo esforzarse más a final de sprint</t>
  </si>
  <si>
    <t>Se ha repetido en incontables ocasiones que se necesita ayuda para desarrollar, corregir y revisar tareas y sólo se limitó a realizar el PUG y hacer 3 pruebas end2end el último día lo que ha provocado una carga desequilibrada entre los miembros que tienen una mayor nota</t>
  </si>
  <si>
    <t>Se ha repetido en incontables ocasiones que se necesita ayuda para desarrollar, corregir y revisar tareas y sólo se limitó a realizar su tarea, además siendo jefe de un equipo en este Sprint, al cual hemos tenido que reemplazar debido a su dejadez. Encontramos horas en el clockify sin trazabilidad haciéndonos imposible saber en lo que estaba trabajando.</t>
  </si>
  <si>
    <t>No ha cumplido con las fechas límites establecidas. Se le asignaron pruebas end2end y su justificación para el retraso era no saber lo que eran</t>
  </si>
  <si>
    <t xml:space="preserve">Se le asignó sólo una tarea durante todo el sprint la cual justificó como completa sin cumplir todos los requisitos establecidos por el equipo. Esto ha provocado retrasos en esa tarea y que otros miembros del equipo hayan tenido que ocuparse de realizar las funcionalidades requeridas. </t>
  </si>
  <si>
    <t>Se ha repetido en incontables ocasiones que se necesita ayuda para desarrollar, corregir y revisar tareas y sólo se limitó a realizar el PUG y hacer 3 pruebas end2end el último día lo que ha provocado una carga desequilibrada entre los miembros que tienen una mayor nota. Añadir el incumplimiento de las fechas límites establecida para sus tareas. Se le da una nueva fecha de entrega para sus tareas y vuelve a incumplirla, acabando el sprint sin completarla.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</si>
</sst>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
  </numFmts>
  <fonts count="6" x14ac:knownFonts="1">
    <font>
      <sz val="11"/>
      <color theme="1"/>
      <name val="Calibri"/>
      <family val="2"/>
      <scheme val="minor"/>
    </font>
    <font>
      <b/>
      <sz val="9"/>
      <color rgb="FF000000"/>
      <name val="Arial"/>
      <family val="2"/>
    </font>
    <font>
      <sz val="10"/>
      <color rgb="FF000000"/>
      <name val="Arial"/>
      <family val="2"/>
    </font>
    <font>
      <sz val="11"/>
      <color theme="1"/>
      <name val="Calibri"/>
      <family val="2"/>
    </font>
    <font>
      <b/>
      <u/>
      <sz val="11"/>
      <color rgb="FF000000"/>
      <name val="Aptos Narrow"/>
      <family val="2"/>
    </font>
    <font>
      <sz val="12"/>
      <color rgb="FF000000"/>
      <name val="Calibri"/>
      <family val="2"/>
    </font>
  </fonts>
  <fills count="3">
    <fill>
      <patternFill patternType="none"/>
    </fill>
    <fill>
      <patternFill patternType="gray125"/>
    </fill>
    <fill>
      <patternFill patternType="solid">
        <fgColor theme="9" tint="0.59999389629810485"/>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s>
  <cellStyleXfs count="1">
    <xf numFmtId="0" fontId="0" fillId="0" borderId="0"/>
  </cellStyleXfs>
  <cellXfs count="19">
    <xf numFmtId="0" fontId="0" fillId="0" borderId="0" xfId="0"/>
    <xf numFmtId="0" fontId="0" fillId="0" borderId="0" xfId="0" applyAlignment="1">
      <alignment wrapText="1"/>
    </xf>
    <xf numFmtId="0" fontId="1" fillId="0" borderId="1" xfId="0" applyFont="1" applyBorder="1" applyAlignment="1">
      <alignment horizontal="center" wrapText="1"/>
    </xf>
    <xf numFmtId="3" fontId="1" fillId="0" borderId="1" xfId="0" applyNumberFormat="1" applyFont="1" applyBorder="1" applyAlignment="1">
      <alignment horizontal="center" wrapText="1"/>
    </xf>
    <xf numFmtId="164" fontId="1" fillId="0" borderId="1" xfId="0" applyNumberFormat="1" applyFont="1" applyBorder="1" applyAlignment="1">
      <alignment horizontal="center" wrapText="1"/>
    </xf>
    <xf numFmtId="0" fontId="2" fillId="0" borderId="1" xfId="0" applyFont="1" applyBorder="1" applyAlignment="1">
      <alignment horizontal="center" wrapText="1"/>
    </xf>
    <xf numFmtId="3" fontId="2" fillId="0" borderId="1" xfId="0" applyNumberFormat="1" applyFont="1" applyBorder="1" applyAlignment="1">
      <alignment horizontal="center" wrapText="1"/>
    </xf>
    <xf numFmtId="165" fontId="2" fillId="0" borderId="1" xfId="0" applyNumberFormat="1" applyFont="1" applyBorder="1" applyAlignment="1">
      <alignment horizontal="center" wrapText="1"/>
    </xf>
    <xf numFmtId="3" fontId="2" fillId="0" borderId="2" xfId="0" applyNumberFormat="1" applyFont="1" applyBorder="1" applyAlignment="1">
      <alignment horizontal="center"/>
    </xf>
    <xf numFmtId="3" fontId="0" fillId="0" borderId="0" xfId="0" applyNumberFormat="1"/>
    <xf numFmtId="164" fontId="0" fillId="0" borderId="0" xfId="0" applyNumberFormat="1"/>
    <xf numFmtId="0" fontId="3" fillId="0" borderId="2" xfId="0" applyFont="1" applyBorder="1" applyAlignment="1">
      <alignment horizontal="left" wrapText="1"/>
    </xf>
    <xf numFmtId="3" fontId="3" fillId="0" borderId="2" xfId="0" applyNumberFormat="1" applyFont="1" applyBorder="1" applyAlignment="1">
      <alignment horizontal="center"/>
    </xf>
    <xf numFmtId="164" fontId="3" fillId="0" borderId="2" xfId="0" applyNumberFormat="1" applyFont="1" applyBorder="1" applyAlignment="1">
      <alignment horizontal="center"/>
    </xf>
    <xf numFmtId="0" fontId="4" fillId="0" borderId="2" xfId="0" applyFont="1" applyBorder="1" applyAlignment="1">
      <alignment horizontal="center"/>
    </xf>
    <xf numFmtId="164" fontId="5" fillId="0" borderId="2" xfId="0" applyNumberFormat="1" applyFont="1" applyBorder="1" applyAlignment="1">
      <alignment horizontal="left"/>
    </xf>
    <xf numFmtId="164" fontId="3" fillId="2" borderId="2" xfId="0" applyNumberFormat="1" applyFont="1" applyFill="1" applyBorder="1" applyAlignment="1">
      <alignment horizontal="center"/>
    </xf>
    <xf numFmtId="3" fontId="3" fillId="0" borderId="2" xfId="0" applyNumberFormat="1" applyFont="1" applyBorder="1" applyAlignment="1">
      <alignment horizontal="left" wrapText="1"/>
    </xf>
    <xf numFmtId="164" fontId="3" fillId="0" borderId="2" xfId="0" applyNumberFormat="1"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39"/>
  <sheetViews>
    <sheetView tabSelected="1" workbookViewId="0">
      <selection activeCell="F2" sqref="F2"/>
    </sheetView>
  </sheetViews>
  <sheetFormatPr baseColWidth="10" defaultColWidth="8.88671875" defaultRowHeight="14.4" x14ac:dyDescent="0.3"/>
  <cols>
    <col min="1" max="1" width="18.88671875" bestFit="1" customWidth="1"/>
    <col min="2" max="2" width="64.109375" style="9" bestFit="1" customWidth="1"/>
    <col min="3" max="7" width="10.6640625" style="10" bestFit="1" customWidth="1"/>
  </cols>
  <sheetData>
    <row r="1" spans="1:7" s="1" customFormat="1" ht="47.25" customHeight="1" x14ac:dyDescent="0.3">
      <c r="A1" s="2" t="s">
        <v>0</v>
      </c>
      <c r="B1" s="3" t="s">
        <v>1</v>
      </c>
      <c r="C1" s="4" t="s">
        <v>2</v>
      </c>
      <c r="D1" s="4" t="s">
        <v>3</v>
      </c>
      <c r="E1" s="4" t="s">
        <v>4</v>
      </c>
      <c r="F1" s="4" t="s">
        <v>5</v>
      </c>
      <c r="G1" s="4" t="s">
        <v>6</v>
      </c>
    </row>
    <row r="2" spans="1:7" s="1" customFormat="1" ht="18.75" customHeight="1" x14ac:dyDescent="0.3">
      <c r="A2" s="5" t="s">
        <v>7</v>
      </c>
      <c r="B2" s="6" t="s">
        <v>8</v>
      </c>
      <c r="C2" s="7">
        <v>1</v>
      </c>
      <c r="D2" s="7">
        <v>1</v>
      </c>
      <c r="E2" s="7">
        <v>1.0149999999999999</v>
      </c>
      <c r="F2" s="7">
        <v>1.0666</v>
      </c>
      <c r="G2" s="7"/>
    </row>
    <row r="3" spans="1:7" s="1" customFormat="1" ht="18.75" customHeight="1" x14ac:dyDescent="0.3">
      <c r="A3" s="5" t="s">
        <v>9</v>
      </c>
      <c r="B3" s="6" t="s">
        <v>10</v>
      </c>
      <c r="C3" s="7">
        <v>1</v>
      </c>
      <c r="D3" s="7">
        <v>1</v>
      </c>
      <c r="E3" s="7">
        <v>1.0149999999999999</v>
      </c>
      <c r="F3" s="7">
        <v>0.9</v>
      </c>
      <c r="G3" s="7"/>
    </row>
    <row r="4" spans="1:7" s="1" customFormat="1" ht="18.75" customHeight="1" x14ac:dyDescent="0.3">
      <c r="A4" s="5" t="s">
        <v>11</v>
      </c>
      <c r="B4" s="6" t="s">
        <v>12</v>
      </c>
      <c r="C4" s="7">
        <v>1</v>
      </c>
      <c r="D4" s="7">
        <v>1</v>
      </c>
      <c r="E4" s="7">
        <v>1.0149999999999999</v>
      </c>
      <c r="F4" s="7">
        <v>1.0666</v>
      </c>
      <c r="G4" s="7"/>
    </row>
    <row r="5" spans="1:7" ht="18.75" customHeight="1" x14ac:dyDescent="0.3">
      <c r="A5" s="5" t="s">
        <v>13</v>
      </c>
      <c r="B5" s="8" t="s">
        <v>14</v>
      </c>
      <c r="C5" s="7">
        <v>1</v>
      </c>
      <c r="D5" s="7">
        <v>1</v>
      </c>
      <c r="E5" s="7">
        <v>1.0149999999999999</v>
      </c>
      <c r="F5" s="7">
        <v>1.0666</v>
      </c>
      <c r="G5" s="7"/>
    </row>
    <row r="6" spans="1:7" s="1" customFormat="1" ht="18.75" customHeight="1" x14ac:dyDescent="0.3">
      <c r="A6" s="5" t="s">
        <v>15</v>
      </c>
      <c r="B6" s="6" t="s">
        <v>16</v>
      </c>
      <c r="C6" s="7">
        <v>1</v>
      </c>
      <c r="D6" s="7">
        <v>1</v>
      </c>
      <c r="E6" s="7">
        <v>1.0149999999999999</v>
      </c>
      <c r="F6" s="7">
        <v>1.0666</v>
      </c>
      <c r="G6" s="7"/>
    </row>
    <row r="7" spans="1:7" s="1" customFormat="1" ht="18.75" customHeight="1" x14ac:dyDescent="0.3">
      <c r="A7" s="5" t="s">
        <v>17</v>
      </c>
      <c r="B7" s="6" t="s">
        <v>18</v>
      </c>
      <c r="C7" s="7">
        <v>1</v>
      </c>
      <c r="D7" s="7">
        <v>1</v>
      </c>
      <c r="E7" s="7">
        <v>1</v>
      </c>
      <c r="F7" s="7">
        <v>1</v>
      </c>
      <c r="G7" s="7"/>
    </row>
    <row r="8" spans="1:7" s="1" customFormat="1" ht="18.75" customHeight="1" x14ac:dyDescent="0.3">
      <c r="A8" s="5" t="s">
        <v>19</v>
      </c>
      <c r="B8" s="6" t="s">
        <v>20</v>
      </c>
      <c r="C8" s="7">
        <v>1</v>
      </c>
      <c r="D8" s="7">
        <v>1</v>
      </c>
      <c r="E8" s="7">
        <v>0.9</v>
      </c>
      <c r="F8" s="7">
        <v>0.9</v>
      </c>
      <c r="G8" s="7"/>
    </row>
    <row r="9" spans="1:7" s="1" customFormat="1" ht="18.75" customHeight="1" x14ac:dyDescent="0.3">
      <c r="A9" s="5" t="s">
        <v>21</v>
      </c>
      <c r="B9" s="6" t="s">
        <v>22</v>
      </c>
      <c r="C9" s="7">
        <v>1</v>
      </c>
      <c r="D9" s="7">
        <v>1</v>
      </c>
      <c r="E9" s="7">
        <v>1.0149999999999999</v>
      </c>
      <c r="F9" s="7">
        <v>1.0666</v>
      </c>
      <c r="G9" s="7"/>
    </row>
    <row r="10" spans="1:7" s="1" customFormat="1" ht="18.75" customHeight="1" x14ac:dyDescent="0.3">
      <c r="A10" s="5" t="s">
        <v>21</v>
      </c>
      <c r="B10" s="6" t="s">
        <v>23</v>
      </c>
      <c r="C10" s="7">
        <v>1</v>
      </c>
      <c r="D10" s="7">
        <v>1</v>
      </c>
      <c r="E10" s="7">
        <v>1</v>
      </c>
      <c r="F10" s="7">
        <v>0.9</v>
      </c>
      <c r="G10" s="7"/>
    </row>
    <row r="11" spans="1:7" s="1" customFormat="1" ht="18.75" customHeight="1" x14ac:dyDescent="0.3">
      <c r="A11" s="5" t="s">
        <v>24</v>
      </c>
      <c r="B11" s="6" t="s">
        <v>25</v>
      </c>
      <c r="C11" s="7">
        <v>1</v>
      </c>
      <c r="D11" s="7">
        <v>1</v>
      </c>
      <c r="E11" s="7">
        <v>1.0149999999999999</v>
      </c>
      <c r="F11" s="7">
        <v>1.0666</v>
      </c>
      <c r="G11" s="7"/>
    </row>
    <row r="12" spans="1:7" s="1" customFormat="1" ht="18.75" customHeight="1" x14ac:dyDescent="0.3">
      <c r="A12" s="5" t="s">
        <v>26</v>
      </c>
      <c r="B12" s="6" t="s">
        <v>27</v>
      </c>
      <c r="C12" s="7">
        <v>1</v>
      </c>
      <c r="D12" s="7">
        <v>1</v>
      </c>
      <c r="E12" s="7">
        <v>1.0149999999999999</v>
      </c>
      <c r="F12" s="7">
        <v>1.0666</v>
      </c>
      <c r="G12" s="7"/>
    </row>
    <row r="13" spans="1:7" s="1" customFormat="1" ht="18.75" customHeight="1" x14ac:dyDescent="0.3">
      <c r="A13" s="5" t="s">
        <v>28</v>
      </c>
      <c r="B13" s="6" t="s">
        <v>29</v>
      </c>
      <c r="C13" s="7">
        <v>1</v>
      </c>
      <c r="D13" s="7">
        <v>1</v>
      </c>
      <c r="E13" s="7">
        <v>1.0149999999999999</v>
      </c>
      <c r="F13" s="7">
        <v>1.0666</v>
      </c>
      <c r="G13" s="7"/>
    </row>
    <row r="14" spans="1:7" s="1" customFormat="1" ht="18.75" customHeight="1" x14ac:dyDescent="0.3">
      <c r="A14" s="5" t="s">
        <v>30</v>
      </c>
      <c r="B14" s="6" t="s">
        <v>31</v>
      </c>
      <c r="C14" s="7">
        <v>1</v>
      </c>
      <c r="D14" s="7">
        <v>1</v>
      </c>
      <c r="E14" s="7">
        <v>1.0149999999999999</v>
      </c>
      <c r="F14" s="7">
        <v>1.0666</v>
      </c>
      <c r="G14" s="7"/>
    </row>
    <row r="15" spans="1:7" s="1" customFormat="1" ht="18.75" customHeight="1" x14ac:dyDescent="0.3">
      <c r="A15" s="5" t="s">
        <v>32</v>
      </c>
      <c r="B15" s="6" t="s">
        <v>33</v>
      </c>
      <c r="C15" s="7">
        <v>1</v>
      </c>
      <c r="D15" s="7">
        <v>1</v>
      </c>
      <c r="E15" s="7">
        <v>1</v>
      </c>
      <c r="F15" s="7">
        <v>0.9</v>
      </c>
      <c r="G15" s="7"/>
    </row>
    <row r="16" spans="1:7" s="1" customFormat="1" ht="18.75" customHeight="1" x14ac:dyDescent="0.3">
      <c r="A16" s="5" t="s">
        <v>34</v>
      </c>
      <c r="B16" s="6" t="s">
        <v>35</v>
      </c>
      <c r="C16" s="7">
        <v>1</v>
      </c>
      <c r="D16" s="7">
        <v>1</v>
      </c>
      <c r="E16" s="7">
        <v>0.95</v>
      </c>
      <c r="F16" s="7">
        <v>0.8</v>
      </c>
      <c r="G16" s="7"/>
    </row>
    <row r="17" spans="1:7" s="1" customFormat="1" ht="18.75" customHeight="1" x14ac:dyDescent="0.3">
      <c r="A17" s="5"/>
      <c r="B17" s="6"/>
      <c r="C17" s="7"/>
      <c r="D17" s="7"/>
      <c r="E17" s="7"/>
      <c r="F17" s="7"/>
      <c r="G17" s="7"/>
    </row>
    <row r="18" spans="1:7" s="1" customFormat="1" ht="18.75" customHeight="1" x14ac:dyDescent="0.3">
      <c r="A18" s="5"/>
      <c r="B18" s="6"/>
      <c r="C18" s="7"/>
      <c r="D18" s="7"/>
      <c r="E18" s="7"/>
      <c r="F18" s="7"/>
      <c r="G18" s="7"/>
    </row>
    <row r="19" spans="1:7" s="1" customFormat="1" ht="18.75" customHeight="1" x14ac:dyDescent="0.3">
      <c r="A19" s="5"/>
      <c r="B19" s="6"/>
      <c r="C19" s="7"/>
      <c r="D19" s="7"/>
      <c r="E19" s="7"/>
      <c r="F19" s="7"/>
      <c r="G19" s="7"/>
    </row>
    <row r="20" spans="1:7" s="1" customFormat="1" ht="18.75" customHeight="1" x14ac:dyDescent="0.3">
      <c r="A20" s="5"/>
      <c r="B20" s="6"/>
      <c r="C20" s="7"/>
      <c r="D20" s="7"/>
      <c r="E20" s="7"/>
      <c r="F20" s="7"/>
      <c r="G20" s="7"/>
    </row>
    <row r="21" spans="1:7" s="1" customFormat="1" ht="18.75" customHeight="1" x14ac:dyDescent="0.3">
      <c r="A21" s="5"/>
      <c r="B21" s="6"/>
      <c r="C21" s="7"/>
      <c r="D21" s="7"/>
      <c r="E21" s="7"/>
      <c r="F21" s="7"/>
      <c r="G21" s="7"/>
    </row>
    <row r="22" spans="1:7" s="1" customFormat="1" ht="18.75" customHeight="1" x14ac:dyDescent="0.3">
      <c r="A22" s="5"/>
      <c r="B22" s="6"/>
      <c r="C22" s="7"/>
      <c r="D22" s="7"/>
      <c r="E22" s="7"/>
      <c r="F22" s="7"/>
      <c r="G22" s="7"/>
    </row>
    <row r="23" spans="1:7" s="1" customFormat="1" ht="18.75" customHeight="1" x14ac:dyDescent="0.3">
      <c r="A23" s="5"/>
      <c r="B23" s="6"/>
      <c r="C23" s="7"/>
      <c r="D23" s="7"/>
      <c r="E23" s="7"/>
      <c r="F23" s="7"/>
      <c r="G23" s="7"/>
    </row>
    <row r="24" spans="1:7" s="1" customFormat="1" ht="18.75" customHeight="1" x14ac:dyDescent="0.3">
      <c r="A24" s="5"/>
      <c r="B24" s="6"/>
      <c r="C24" s="7"/>
      <c r="D24" s="7"/>
      <c r="E24" s="7"/>
      <c r="F24" s="7"/>
      <c r="G24" s="7"/>
    </row>
    <row r="25" spans="1:7" s="1" customFormat="1" ht="18.75" customHeight="1" x14ac:dyDescent="0.3">
      <c r="A25" s="5"/>
      <c r="B25" s="6"/>
      <c r="C25" s="7"/>
      <c r="D25" s="7"/>
      <c r="E25" s="7"/>
      <c r="F25" s="7"/>
      <c r="G25" s="7"/>
    </row>
    <row r="26" spans="1:7" s="1" customFormat="1" ht="18.75" customHeight="1" x14ac:dyDescent="0.3">
      <c r="A26" s="5"/>
      <c r="B26" s="6"/>
      <c r="C26" s="7"/>
      <c r="D26" s="7"/>
      <c r="E26" s="7"/>
      <c r="F26" s="7"/>
      <c r="G26" s="7"/>
    </row>
    <row r="28" spans="1:7" x14ac:dyDescent="0.3">
      <c r="A28" s="11" t="s">
        <v>36</v>
      </c>
      <c r="B28" s="12">
        <f>COUNTA(A2:A26)</f>
        <v>15</v>
      </c>
    </row>
    <row r="29" spans="1:7" ht="18.75" customHeight="1" x14ac:dyDescent="0.3">
      <c r="A29" t="s">
        <v>37</v>
      </c>
      <c r="C29" s="13">
        <f>SUM(C2:C26)/$B$28</f>
        <v>1</v>
      </c>
      <c r="D29" s="13">
        <f>SUM(D2:D26)/$B$28</f>
        <v>1</v>
      </c>
      <c r="E29" s="13">
        <f>SUM(E2:E26)/$B$28</f>
        <v>1</v>
      </c>
      <c r="F29" s="16">
        <f>SUM(F2:F26)/$B$28</f>
        <v>0.99995999999999996</v>
      </c>
      <c r="G29" s="13">
        <f>SUM(G2:G26)/$B$28</f>
        <v>0</v>
      </c>
    </row>
    <row r="30" spans="1:7" ht="18.75" customHeight="1" x14ac:dyDescent="0.3">
      <c r="A30" t="s">
        <v>38</v>
      </c>
      <c r="C30" s="13">
        <f>1-C29</f>
        <v>0</v>
      </c>
      <c r="D30" s="13">
        <f>1-D29</f>
        <v>0</v>
      </c>
      <c r="E30" s="13">
        <f>1-E29</f>
        <v>0</v>
      </c>
      <c r="F30" s="13">
        <f>1-F29</f>
        <v>4.0000000000040004E-5</v>
      </c>
      <c r="G30" s="13">
        <f>1-G29</f>
        <v>1</v>
      </c>
    </row>
    <row r="31" spans="1:7" ht="18.75" customHeight="1" x14ac:dyDescent="0.3"/>
    <row r="32" spans="1:7" ht="18.75" customHeight="1" x14ac:dyDescent="0.3"/>
    <row r="33" spans="1:7" ht="18.75" customHeight="1" x14ac:dyDescent="0.3">
      <c r="A33" s="14" t="s">
        <v>39</v>
      </c>
      <c r="B33" s="9" t="s">
        <v>40</v>
      </c>
    </row>
    <row r="34" spans="1:7" s="1" customFormat="1" ht="79.5" customHeight="1" x14ac:dyDescent="0.3">
      <c r="B34" s="17" t="s">
        <v>41</v>
      </c>
      <c r="C34" s="18"/>
      <c r="D34" s="18"/>
      <c r="E34" s="18"/>
      <c r="F34" s="18"/>
      <c r="G34" s="18"/>
    </row>
    <row r="35" spans="1:7" s="1" customFormat="1" ht="47.25" customHeight="1" x14ac:dyDescent="0.3">
      <c r="B35" s="17" t="s">
        <v>42</v>
      </c>
      <c r="C35" s="18"/>
      <c r="D35" s="18"/>
      <c r="E35" s="18"/>
      <c r="F35" s="18"/>
      <c r="G35" s="18"/>
    </row>
    <row r="36" spans="1:7" s="1" customFormat="1" ht="44.25" customHeight="1" x14ac:dyDescent="0.3">
      <c r="B36" s="17" t="s">
        <v>43</v>
      </c>
      <c r="C36" s="18"/>
      <c r="D36" s="18"/>
      <c r="E36" s="18"/>
      <c r="F36" s="18"/>
      <c r="G36" s="18"/>
    </row>
    <row r="37" spans="1:7" ht="18.75" customHeight="1" x14ac:dyDescent="0.3"/>
    <row r="38" spans="1:7" ht="18.75" customHeight="1" x14ac:dyDescent="0.3"/>
    <row r="39" spans="1:7" ht="18.75" customHeight="1" x14ac:dyDescent="0.3">
      <c r="D39" s="15"/>
    </row>
  </sheetData>
  <mergeCells count="3">
    <mergeCell ref="B34:G34"/>
    <mergeCell ref="B35:G35"/>
    <mergeCell ref="B36:G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
  <sheetViews>
    <sheetView workbookViewId="0"/>
  </sheetViews>
  <sheetFormatPr baseColWidth="10" defaultColWidth="8.8867187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
  <sheetViews>
    <sheetView workbookViewId="0"/>
  </sheetViews>
  <sheetFormatPr baseColWidth="10" defaultColWidth="8.88671875"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G3"/>
  <sheetViews>
    <sheetView workbookViewId="0">
      <selection sqref="A1:XFD1048576"/>
    </sheetView>
  </sheetViews>
  <sheetFormatPr baseColWidth="10" defaultColWidth="8.88671875" defaultRowHeight="14.4" x14ac:dyDescent="0.3"/>
  <cols>
    <col min="2" max="2" width="15.33203125" bestFit="1" customWidth="1"/>
    <col min="3" max="3" width="49.88671875" customWidth="1"/>
    <col min="4" max="4" width="10.88671875" customWidth="1"/>
  </cols>
  <sheetData>
    <row r="1" spans="1:7" s="1" customFormat="1" ht="15" thickBot="1" x14ac:dyDescent="0.35">
      <c r="A1" s="2" t="s">
        <v>0</v>
      </c>
      <c r="B1" s="3" t="s">
        <v>1</v>
      </c>
      <c r="C1" s="4" t="s">
        <v>44</v>
      </c>
      <c r="D1" s="4" t="s">
        <v>45</v>
      </c>
      <c r="E1" s="4"/>
      <c r="F1" s="4"/>
      <c r="G1" s="4"/>
    </row>
    <row r="2" spans="1:7" ht="54" thickBot="1" x14ac:dyDescent="0.35">
      <c r="A2" s="5" t="s">
        <v>19</v>
      </c>
      <c r="B2" s="6" t="s">
        <v>20</v>
      </c>
      <c r="C2" s="7" t="s">
        <v>46</v>
      </c>
      <c r="D2" s="7">
        <v>-0.1</v>
      </c>
      <c r="E2" s="7"/>
    </row>
    <row r="3" spans="1:7" s="1" customFormat="1" ht="54" thickBot="1" x14ac:dyDescent="0.35">
      <c r="A3" s="5" t="s">
        <v>34</v>
      </c>
      <c r="B3" s="6" t="s">
        <v>35</v>
      </c>
      <c r="C3" s="7" t="s">
        <v>47</v>
      </c>
      <c r="D3" s="7">
        <v>-0.05</v>
      </c>
      <c r="E3" s="7"/>
      <c r="F3" s="7"/>
      <c r="G3"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G6"/>
  <sheetViews>
    <sheetView workbookViewId="0">
      <selection activeCell="I4" sqref="I4"/>
    </sheetView>
  </sheetViews>
  <sheetFormatPr baseColWidth="10" defaultColWidth="8.88671875" defaultRowHeight="14.4" x14ac:dyDescent="0.3"/>
  <cols>
    <col min="1" max="1" width="10.77734375" bestFit="1" customWidth="1"/>
    <col min="2" max="2" width="27.77734375" customWidth="1"/>
    <col min="3" max="3" width="49.88671875" customWidth="1"/>
    <col min="4" max="4" width="10.88671875" customWidth="1"/>
  </cols>
  <sheetData>
    <row r="1" spans="1:7" s="1" customFormat="1" ht="15" thickBot="1" x14ac:dyDescent="0.35">
      <c r="A1" s="2" t="s">
        <v>0</v>
      </c>
      <c r="B1" s="3" t="s">
        <v>1</v>
      </c>
      <c r="C1" s="4" t="s">
        <v>44</v>
      </c>
      <c r="D1" s="4" t="s">
        <v>45</v>
      </c>
      <c r="E1" s="4"/>
      <c r="F1" s="4"/>
      <c r="G1" s="4"/>
    </row>
    <row r="2" spans="1:7" ht="67.2" thickBot="1" x14ac:dyDescent="0.35">
      <c r="A2" s="5" t="s">
        <v>19</v>
      </c>
      <c r="B2" s="6" t="s">
        <v>20</v>
      </c>
      <c r="C2" s="7" t="s">
        <v>48</v>
      </c>
      <c r="D2" s="7">
        <v>-0.1</v>
      </c>
      <c r="E2" s="7"/>
    </row>
    <row r="3" spans="1:7" s="1" customFormat="1" ht="120" thickBot="1" x14ac:dyDescent="0.35">
      <c r="A3" s="5" t="s">
        <v>34</v>
      </c>
      <c r="B3" s="6" t="s">
        <v>35</v>
      </c>
      <c r="C3" s="7" t="s">
        <v>52</v>
      </c>
      <c r="D3" s="7">
        <v>-0.2</v>
      </c>
      <c r="E3" s="7"/>
      <c r="F3" s="7"/>
      <c r="G3" s="7"/>
    </row>
    <row r="4" spans="1:7" s="1" customFormat="1" ht="93.6" thickBot="1" x14ac:dyDescent="0.35">
      <c r="A4" s="5" t="s">
        <v>9</v>
      </c>
      <c r="B4" s="6" t="s">
        <v>10</v>
      </c>
      <c r="C4" s="7" t="s">
        <v>49</v>
      </c>
      <c r="D4" s="7">
        <v>-0.1</v>
      </c>
      <c r="E4" s="7"/>
      <c r="F4" s="7"/>
      <c r="G4" s="7"/>
    </row>
    <row r="5" spans="1:7" s="1" customFormat="1" ht="40.799999999999997" thickBot="1" x14ac:dyDescent="0.35">
      <c r="A5" s="5" t="s">
        <v>21</v>
      </c>
      <c r="B5" s="6" t="s">
        <v>23</v>
      </c>
      <c r="C5" s="7" t="s">
        <v>50</v>
      </c>
      <c r="D5" s="7">
        <v>-0.1</v>
      </c>
      <c r="E5" s="7"/>
      <c r="F5" s="7"/>
      <c r="G5" s="7"/>
    </row>
    <row r="6" spans="1:7" s="1" customFormat="1" ht="67.2" thickBot="1" x14ac:dyDescent="0.35">
      <c r="A6" s="5" t="s">
        <v>32</v>
      </c>
      <c r="B6" s="6" t="s">
        <v>33</v>
      </c>
      <c r="C6" s="7" t="s">
        <v>51</v>
      </c>
      <c r="D6" s="7">
        <v>-0.1</v>
      </c>
      <c r="E6" s="7"/>
      <c r="F6" s="7"/>
      <c r="G6"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
  <sheetViews>
    <sheetView workbookViewId="0"/>
  </sheetViews>
  <sheetFormatPr baseColWidth="10"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Contribución a los entregables</vt:lpstr>
      <vt:lpstr>Comentarios sobre #DP</vt:lpstr>
      <vt:lpstr>Comentarios sobre #S1</vt:lpstr>
      <vt:lpstr>Comentarios sobre #S2</vt:lpstr>
      <vt:lpstr>Comentarios sobre #S3</vt:lpstr>
      <vt:lpstr>Comentarios sobre #PPL</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ESTEBAN LÓPEZ PÉREZ</cp:lastModifiedBy>
  <dcterms:created xsi:type="dcterms:W3CDTF">2026-03-25T08:18:56Z</dcterms:created>
  <dcterms:modified xsi:type="dcterms:W3CDTF">2026-04-15T10:14:22Z</dcterms:modified>
</cp:coreProperties>
</file>